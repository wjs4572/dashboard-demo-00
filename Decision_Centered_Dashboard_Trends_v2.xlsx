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\github_personal\project_simpsonportfolio\projects\dashboard\"/>
    </mc:Choice>
  </mc:AlternateContent>
  <xr:revisionPtr revIDLastSave="0" documentId="13_ncr:20001_{A90E6015-E29F-4D55-B914-55E1F28C6970}" xr6:coauthVersionLast="47" xr6:coauthVersionMax="47" xr10:uidLastSave="{00000000-0000-0000-0000-000000000000}"/>
  <bookViews>
    <workbookView xWindow="38280" yWindow="1605" windowWidth="29040" windowHeight="16440" xr2:uid="{00000000-000D-0000-FFFF-FFFF00000000}"/>
  </bookViews>
  <sheets>
    <sheet name="Error Rate" sheetId="4" r:id="rId1"/>
    <sheet name="Response Time" sheetId="1" r:id="rId2"/>
    <sheet name="Error Rate odl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E9" i="4"/>
  <c r="E10" i="4"/>
  <c r="E11" i="4"/>
  <c r="E12" i="4"/>
  <c r="E13" i="4"/>
  <c r="E14" i="4"/>
  <c r="E15" i="4"/>
  <c r="E16" i="4"/>
  <c r="E17" i="4"/>
  <c r="E18" i="4"/>
  <c r="E19" i="4"/>
  <c r="E20" i="4"/>
  <c r="E8" i="4"/>
  <c r="G30" i="4"/>
  <c r="G29" i="4"/>
  <c r="B25" i="3"/>
  <c r="B24" i="3"/>
  <c r="G30" i="3"/>
  <c r="G29" i="3"/>
  <c r="G30" i="1"/>
  <c r="G29" i="1"/>
  <c r="B22" i="1"/>
  <c r="B23" i="4" l="1"/>
</calcChain>
</file>

<file path=xl/sharedStrings.xml><?xml version="1.0" encoding="utf-8"?>
<sst xmlns="http://schemas.openxmlformats.org/spreadsheetml/2006/main" count="16" uniqueCount="7">
  <si>
    <t>Time</t>
  </si>
  <si>
    <t>Response Time (ms)</t>
  </si>
  <si>
    <t>Error Rate (%)</t>
  </si>
  <si>
    <t>Now</t>
  </si>
  <si>
    <t>Baseline</t>
  </si>
  <si>
    <t>average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</si>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</sst>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0" fontId="0" fillId="0" borderId="0" xfId="0" applyNumberFormat="1"/>
    <xf numFmtId="18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B6EC6A6-75D5-403C-AA4E-898ADD83BCCD}"/>
  </tableStyles>
  <colors>
    <mruColors>
      <color rgb="FF16A34A"/>
      <color rgb="FF00843C"/>
      <color rgb="FFCC2936"/>
      <color rgb="FF2563EB"/>
      <color rgb="FF5056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'Error Rate'!$C$1</c:f>
              <c:strCache>
                <c:ptCount val="1"/>
                <c:pt idx="0">
                  <c:v>Baseline</c:v>
                </c:pt>
              </c:strCache>
            </c:strRef>
          </c:tx>
          <c:spPr>
            <a:ln w="19050" cap="flat">
              <a:solidFill>
                <a:srgbClr val="16A34A"/>
              </a:solidFill>
              <a:prstDash val="sysDot"/>
              <a:miter lim="800000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'Error Rate'!$A$8:$A$20</c:f>
              <c:numCache>
                <c:formatCode>h:mm</c:formatCode>
                <c:ptCount val="13"/>
                <c:pt idx="0">
                  <c:v>45658.430555555598</c:v>
                </c:pt>
                <c:pt idx="1">
                  <c:v>45658.434027777803</c:v>
                </c:pt>
                <c:pt idx="2">
                  <c:v>45658.4375</c:v>
                </c:pt>
                <c:pt idx="3">
                  <c:v>45658.440972222197</c:v>
                </c:pt>
                <c:pt idx="4">
                  <c:v>45658.444444444503</c:v>
                </c:pt>
                <c:pt idx="5">
                  <c:v>45658.447916666701</c:v>
                </c:pt>
                <c:pt idx="6">
                  <c:v>45658.451388888898</c:v>
                </c:pt>
                <c:pt idx="7">
                  <c:v>45658.454861111197</c:v>
                </c:pt>
                <c:pt idx="8">
                  <c:v>45658.458333333401</c:v>
                </c:pt>
                <c:pt idx="9">
                  <c:v>45658.461805555598</c:v>
                </c:pt>
                <c:pt idx="10">
                  <c:v>45658.465277777803</c:v>
                </c:pt>
                <c:pt idx="11">
                  <c:v>45658.468750000102</c:v>
                </c:pt>
                <c:pt idx="12">
                  <c:v>45658.472222222299</c:v>
                </c:pt>
              </c:numCache>
            </c:numRef>
          </c:xVal>
          <c:yVal>
            <c:numRef>
              <c:f>'Error Rate'!$C$8:$C$20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2-4229-99DF-EE646F91BB3A}"/>
            </c:ext>
          </c:extLst>
        </c:ser>
        <c:ser>
          <c:idx val="3"/>
          <c:order val="1"/>
          <c:tx>
            <c:strRef>
              <c:f>'Error Rate'!$B$1</c:f>
              <c:strCache>
                <c:ptCount val="1"/>
                <c:pt idx="0">
                  <c:v>Response Time (ms)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Pt>
            <c:idx val="11"/>
            <c:marker>
              <c:spPr>
                <a:solidFill>
                  <a:srgbClr val="CC2936"/>
                </a:solidFill>
                <a:ln>
                  <a:solidFill>
                    <a:srgbClr val="CC2936"/>
                  </a:solidFill>
                </a:ln>
              </c:spPr>
            </c:marker>
            <c:bubble3D val="0"/>
            <c:spPr>
              <a:ln w="19050" cap="rnd">
                <a:solidFill>
                  <a:srgbClr val="CC293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82-4229-99DF-EE646F91BB3A}"/>
              </c:ext>
            </c:extLst>
          </c:dPt>
          <c:xVal>
            <c:numRef>
              <c:f>'Error Rate'!$A$8:$A$20</c:f>
              <c:numCache>
                <c:formatCode>h:mm</c:formatCode>
                <c:ptCount val="13"/>
                <c:pt idx="0">
                  <c:v>45658.430555555598</c:v>
                </c:pt>
                <c:pt idx="1">
                  <c:v>45658.434027777803</c:v>
                </c:pt>
                <c:pt idx="2">
                  <c:v>45658.4375</c:v>
                </c:pt>
                <c:pt idx="3">
                  <c:v>45658.440972222197</c:v>
                </c:pt>
                <c:pt idx="4">
                  <c:v>45658.444444444503</c:v>
                </c:pt>
                <c:pt idx="5">
                  <c:v>45658.447916666701</c:v>
                </c:pt>
                <c:pt idx="6">
                  <c:v>45658.451388888898</c:v>
                </c:pt>
                <c:pt idx="7">
                  <c:v>45658.454861111197</c:v>
                </c:pt>
                <c:pt idx="8">
                  <c:v>45658.458333333401</c:v>
                </c:pt>
                <c:pt idx="9">
                  <c:v>45658.461805555598</c:v>
                </c:pt>
                <c:pt idx="10">
                  <c:v>45658.465277777803</c:v>
                </c:pt>
                <c:pt idx="11">
                  <c:v>45658.468750000102</c:v>
                </c:pt>
                <c:pt idx="12">
                  <c:v>45658.472222222299</c:v>
                </c:pt>
              </c:numCache>
            </c:numRef>
          </c:xVal>
          <c:yVal>
            <c:numRef>
              <c:f>'Error Rate'!$B$8:$B$20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12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82-4229-99DF-EE646F91BB3A}"/>
            </c:ext>
          </c:extLst>
        </c:ser>
        <c:ser>
          <c:idx val="1"/>
          <c:order val="2"/>
          <c:tx>
            <c:strRef>
              <c:f>'Error Rate'!$D$1</c:f>
              <c:strCache>
                <c:ptCount val="1"/>
                <c:pt idx="0">
                  <c:v>Now</c:v>
                </c:pt>
              </c:strCache>
            </c:strRef>
          </c:tx>
          <c:spPr>
            <a:ln w="12700" cap="flat">
              <a:solidFill>
                <a:schemeClr val="tx2"/>
              </a:solidFill>
              <a:prstDash val="sysDot"/>
              <a:miter lim="800000"/>
            </a:ln>
          </c:spPr>
          <c:marker>
            <c:spPr>
              <a:noFill/>
              <a:ln>
                <a:noFill/>
              </a:ln>
            </c:spPr>
          </c:marker>
          <c:dLbls>
            <c:dLbl>
              <c:idx val="1"/>
              <c:layout>
                <c:manualLayout>
                  <c:x val="-3.9696438995913776E-2"/>
                  <c:y val="-2.67430754536771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Now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982-4229-99DF-EE646F91BB3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2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'Error Rate'!$A$26:$A$27</c:f>
              <c:numCache>
                <c:formatCode>m/d/yyyy\ h:mm</c:formatCode>
                <c:ptCount val="2"/>
                <c:pt idx="0">
                  <c:v>45658.473611111112</c:v>
                </c:pt>
                <c:pt idx="1">
                  <c:v>45658.473611111112</c:v>
                </c:pt>
              </c:numCache>
            </c:numRef>
          </c:xVal>
          <c:yVal>
            <c:numRef>
              <c:f>'Error Rate'!$D$26:$D$27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82-4229-99DF-EE646F91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542288"/>
        <c:axId val="1791551888"/>
      </c:scatterChart>
      <c:valAx>
        <c:axId val="1791542288"/>
        <c:scaling>
          <c:orientation val="minMax"/>
          <c:max val="45658.475689999999"/>
          <c:min val="45658.43056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1791551888"/>
        <c:crosses val="autoZero"/>
        <c:crossBetween val="midCat"/>
        <c:majorUnit val="6.9500000000000022E-3"/>
        <c:minorUnit val="3.4700000000000013E-3"/>
      </c:valAx>
      <c:valAx>
        <c:axId val="179155188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1791542288"/>
        <c:crossesAt val="45658.427079999994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'Response Time'!$C$1</c:f>
              <c:strCache>
                <c:ptCount val="1"/>
                <c:pt idx="0">
                  <c:v>Baseline</c:v>
                </c:pt>
              </c:strCache>
            </c:strRef>
          </c:tx>
          <c:spPr>
            <a:ln w="19050" cap="flat">
              <a:solidFill>
                <a:srgbClr val="16A34A"/>
              </a:solidFill>
              <a:prstDash val="sysDot"/>
              <a:miter lim="800000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'Response Time'!$A$8:$A$20</c:f>
              <c:numCache>
                <c:formatCode>h:mm</c:formatCode>
                <c:ptCount val="13"/>
                <c:pt idx="0">
                  <c:v>45658.430555555598</c:v>
                </c:pt>
                <c:pt idx="1">
                  <c:v>45658.434027777803</c:v>
                </c:pt>
                <c:pt idx="2">
                  <c:v>45658.4375</c:v>
                </c:pt>
                <c:pt idx="3">
                  <c:v>45658.440972222197</c:v>
                </c:pt>
                <c:pt idx="4">
                  <c:v>45658.444444444503</c:v>
                </c:pt>
                <c:pt idx="5">
                  <c:v>45658.447916666701</c:v>
                </c:pt>
                <c:pt idx="6">
                  <c:v>45658.451388888898</c:v>
                </c:pt>
                <c:pt idx="7">
                  <c:v>45658.454861111197</c:v>
                </c:pt>
                <c:pt idx="8">
                  <c:v>45658.458333333401</c:v>
                </c:pt>
                <c:pt idx="9">
                  <c:v>45658.461805555598</c:v>
                </c:pt>
                <c:pt idx="10">
                  <c:v>45658.465277777803</c:v>
                </c:pt>
                <c:pt idx="11">
                  <c:v>45658.468750000102</c:v>
                </c:pt>
                <c:pt idx="12">
                  <c:v>45658.472222222299</c:v>
                </c:pt>
              </c:numCache>
            </c:numRef>
          </c:xVal>
          <c:yVal>
            <c:numRef>
              <c:f>'Response Time'!$C$8:$C$20</c:f>
              <c:numCache>
                <c:formatCode>General</c:formatCode>
                <c:ptCount val="13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270</c:v>
                </c:pt>
                <c:pt idx="8">
                  <c:v>270</c:v>
                </c:pt>
                <c:pt idx="9">
                  <c:v>270</c:v>
                </c:pt>
                <c:pt idx="10">
                  <c:v>270</c:v>
                </c:pt>
                <c:pt idx="11">
                  <c:v>270</c:v>
                </c:pt>
                <c:pt idx="12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0F-4D23-B21E-97D116495973}"/>
            </c:ext>
          </c:extLst>
        </c:ser>
        <c:ser>
          <c:idx val="3"/>
          <c:order val="1"/>
          <c:tx>
            <c:strRef>
              <c:f>'Response Time'!$B$1</c:f>
              <c:strCache>
                <c:ptCount val="1"/>
                <c:pt idx="0">
                  <c:v>Response Time (ms)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Pt>
            <c:idx val="11"/>
            <c:marker>
              <c:spPr>
                <a:solidFill>
                  <a:srgbClr val="CC2936"/>
                </a:solidFill>
                <a:ln>
                  <a:solidFill>
                    <a:srgbClr val="CC2936"/>
                  </a:solidFill>
                </a:ln>
              </c:spPr>
            </c:marker>
            <c:bubble3D val="0"/>
            <c:spPr>
              <a:ln w="19050" cap="rnd">
                <a:solidFill>
                  <a:srgbClr val="CC293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240F-4D23-B21E-97D116495973}"/>
              </c:ext>
            </c:extLst>
          </c:dPt>
          <c:xVal>
            <c:numRef>
              <c:f>'Response Time'!$A$8:$A$20</c:f>
              <c:numCache>
                <c:formatCode>h:mm</c:formatCode>
                <c:ptCount val="13"/>
                <c:pt idx="0">
                  <c:v>45658.430555555598</c:v>
                </c:pt>
                <c:pt idx="1">
                  <c:v>45658.434027777803</c:v>
                </c:pt>
                <c:pt idx="2">
                  <c:v>45658.4375</c:v>
                </c:pt>
                <c:pt idx="3">
                  <c:v>45658.440972222197</c:v>
                </c:pt>
                <c:pt idx="4">
                  <c:v>45658.444444444503</c:v>
                </c:pt>
                <c:pt idx="5">
                  <c:v>45658.447916666701</c:v>
                </c:pt>
                <c:pt idx="6">
                  <c:v>45658.451388888898</c:v>
                </c:pt>
                <c:pt idx="7">
                  <c:v>45658.454861111197</c:v>
                </c:pt>
                <c:pt idx="8">
                  <c:v>45658.458333333401</c:v>
                </c:pt>
                <c:pt idx="9">
                  <c:v>45658.461805555598</c:v>
                </c:pt>
                <c:pt idx="10">
                  <c:v>45658.465277777803</c:v>
                </c:pt>
                <c:pt idx="11">
                  <c:v>45658.468750000102</c:v>
                </c:pt>
                <c:pt idx="12">
                  <c:v>45658.472222222299</c:v>
                </c:pt>
              </c:numCache>
            </c:numRef>
          </c:xVal>
          <c:yVal>
            <c:numRef>
              <c:f>'Response Time'!$B$8:$B$20</c:f>
              <c:numCache>
                <c:formatCode>General</c:formatCode>
                <c:ptCount val="13"/>
                <c:pt idx="0">
                  <c:v>240</c:v>
                </c:pt>
                <c:pt idx="1">
                  <c:v>237</c:v>
                </c:pt>
                <c:pt idx="2">
                  <c:v>239</c:v>
                </c:pt>
                <c:pt idx="3">
                  <c:v>245</c:v>
                </c:pt>
                <c:pt idx="4">
                  <c:v>235</c:v>
                </c:pt>
                <c:pt idx="5">
                  <c:v>240</c:v>
                </c:pt>
                <c:pt idx="6">
                  <c:v>241</c:v>
                </c:pt>
                <c:pt idx="7">
                  <c:v>250</c:v>
                </c:pt>
                <c:pt idx="8">
                  <c:v>247</c:v>
                </c:pt>
                <c:pt idx="9">
                  <c:v>245</c:v>
                </c:pt>
                <c:pt idx="10">
                  <c:v>263</c:v>
                </c:pt>
                <c:pt idx="11">
                  <c:v>276</c:v>
                </c:pt>
                <c:pt idx="12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0F-4D23-B21E-97D116495973}"/>
            </c:ext>
          </c:extLst>
        </c:ser>
        <c:ser>
          <c:idx val="1"/>
          <c:order val="2"/>
          <c:tx>
            <c:strRef>
              <c:f>'Response Time'!$D$1</c:f>
              <c:strCache>
                <c:ptCount val="1"/>
                <c:pt idx="0">
                  <c:v>Now</c:v>
                </c:pt>
              </c:strCache>
            </c:strRef>
          </c:tx>
          <c:spPr>
            <a:ln w="12700" cap="flat">
              <a:solidFill>
                <a:schemeClr val="tx2"/>
              </a:solidFill>
              <a:prstDash val="sysDot"/>
              <a:miter lim="800000"/>
            </a:ln>
          </c:spPr>
          <c:marker>
            <c:spPr>
              <a:noFill/>
              <a:ln>
                <a:noFill/>
              </a:ln>
            </c:spPr>
          </c:marker>
          <c:dLbls>
            <c:dLbl>
              <c:idx val="1"/>
              <c:layout>
                <c:manualLayout>
                  <c:x val="-3.9696438995913776E-2"/>
                  <c:y val="-2.67430754536771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Now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40F-4D23-B21E-97D116495973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2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'Response Time'!$A$26:$A$27</c:f>
              <c:numCache>
                <c:formatCode>m/d/yyyy\ h:mm</c:formatCode>
                <c:ptCount val="2"/>
                <c:pt idx="0">
                  <c:v>45658.473611111112</c:v>
                </c:pt>
                <c:pt idx="1">
                  <c:v>45658.473611111112</c:v>
                </c:pt>
              </c:numCache>
            </c:numRef>
          </c:xVal>
          <c:yVal>
            <c:numRef>
              <c:f>'Response Time'!$D$26:$D$27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0F-4D23-B21E-97D116495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542288"/>
        <c:axId val="1791551888"/>
      </c:scatterChart>
      <c:valAx>
        <c:axId val="1791542288"/>
        <c:scaling>
          <c:orientation val="minMax"/>
          <c:max val="45658.475689999999"/>
          <c:min val="45658.43056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1791551888"/>
        <c:crosses val="autoZero"/>
        <c:crossBetween val="midCat"/>
        <c:majorUnit val="6.9500000000000022E-3"/>
        <c:minorUnit val="3.4700000000000013E-3"/>
      </c:valAx>
      <c:valAx>
        <c:axId val="1791551888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1791542288"/>
        <c:crossesAt val="45658.427079999994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</a:t>
            </a:r>
            <a:r>
              <a:rPr lang="en-US" baseline="0"/>
              <a:t> Time (ms)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'Error Rate odl'!$C$1</c:f>
              <c:strCache>
                <c:ptCount val="1"/>
                <c:pt idx="0">
                  <c:v>Baseline</c:v>
                </c:pt>
              </c:strCache>
            </c:strRef>
          </c:tx>
          <c:spPr>
            <a:ln w="19050" cap="flat">
              <a:solidFill>
                <a:srgbClr val="16A34A"/>
              </a:solidFill>
              <a:prstDash val="sysDot"/>
              <a:miter lim="800000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'Error Rate odl'!$A$8:$A$20</c:f>
              <c:numCache>
                <c:formatCode>h:mm\ AM/PM</c:formatCode>
                <c:ptCount val="13"/>
                <c:pt idx="0">
                  <c:v>45658.430555555598</c:v>
                </c:pt>
                <c:pt idx="1">
                  <c:v>45658.434027777803</c:v>
                </c:pt>
                <c:pt idx="2">
                  <c:v>45658.4375</c:v>
                </c:pt>
                <c:pt idx="3">
                  <c:v>45658.440972222197</c:v>
                </c:pt>
                <c:pt idx="4">
                  <c:v>45658.444444444503</c:v>
                </c:pt>
                <c:pt idx="5">
                  <c:v>45658.447916666701</c:v>
                </c:pt>
                <c:pt idx="6">
                  <c:v>45658.451388888898</c:v>
                </c:pt>
                <c:pt idx="7">
                  <c:v>45658.454861111197</c:v>
                </c:pt>
                <c:pt idx="8">
                  <c:v>45658.458333333401</c:v>
                </c:pt>
                <c:pt idx="9">
                  <c:v>45658.461805555598</c:v>
                </c:pt>
                <c:pt idx="10">
                  <c:v>45658.465277777803</c:v>
                </c:pt>
                <c:pt idx="11">
                  <c:v>45658.468750000102</c:v>
                </c:pt>
                <c:pt idx="12">
                  <c:v>45658.472222222299</c:v>
                </c:pt>
              </c:numCache>
            </c:numRef>
          </c:xVal>
          <c:yVal>
            <c:numRef>
              <c:f>'Error Rate odl'!$C$8:$C$20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0-4B2A-86C0-CE19EF1667DE}"/>
            </c:ext>
          </c:extLst>
        </c:ser>
        <c:ser>
          <c:idx val="3"/>
          <c:order val="1"/>
          <c:tx>
            <c:strRef>
              <c:f>'Error Rate odl'!$B$1</c:f>
              <c:strCache>
                <c:ptCount val="1"/>
                <c:pt idx="0">
                  <c:v>Error Rate (%)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dPt>
            <c:idx val="11"/>
            <c:bubble3D val="0"/>
            <c:spPr>
              <a:ln w="19050" cap="rnd">
                <a:solidFill>
                  <a:srgbClr val="2563EB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20-4B2A-86C0-CE19EF1667DE}"/>
              </c:ext>
            </c:extLst>
          </c:dPt>
          <c:xVal>
            <c:numRef>
              <c:f>'Error Rate odl'!$A$8:$A$20</c:f>
              <c:numCache>
                <c:formatCode>h:mm\ AM/PM</c:formatCode>
                <c:ptCount val="13"/>
                <c:pt idx="0">
                  <c:v>45658.430555555598</c:v>
                </c:pt>
                <c:pt idx="1">
                  <c:v>45658.434027777803</c:v>
                </c:pt>
                <c:pt idx="2">
                  <c:v>45658.4375</c:v>
                </c:pt>
                <c:pt idx="3">
                  <c:v>45658.440972222197</c:v>
                </c:pt>
                <c:pt idx="4">
                  <c:v>45658.444444444503</c:v>
                </c:pt>
                <c:pt idx="5">
                  <c:v>45658.447916666701</c:v>
                </c:pt>
                <c:pt idx="6">
                  <c:v>45658.451388888898</c:v>
                </c:pt>
                <c:pt idx="7">
                  <c:v>45658.454861111197</c:v>
                </c:pt>
                <c:pt idx="8">
                  <c:v>45658.458333333401</c:v>
                </c:pt>
                <c:pt idx="9">
                  <c:v>45658.461805555598</c:v>
                </c:pt>
                <c:pt idx="10">
                  <c:v>45658.465277777803</c:v>
                </c:pt>
                <c:pt idx="11">
                  <c:v>45658.468750000102</c:v>
                </c:pt>
                <c:pt idx="12">
                  <c:v>45658.472222222299</c:v>
                </c:pt>
              </c:numCache>
            </c:numRef>
          </c:xVal>
          <c:yVal>
            <c:numRef>
              <c:f>'Error Rate odl'!$B$8:$B$20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  <c:pt idx="1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20-4B2A-86C0-CE19EF1667DE}"/>
            </c:ext>
          </c:extLst>
        </c:ser>
        <c:ser>
          <c:idx val="1"/>
          <c:order val="2"/>
          <c:tx>
            <c:strRef>
              <c:f>'Error Rate odl'!$D$1</c:f>
              <c:strCache>
                <c:ptCount val="1"/>
                <c:pt idx="0">
                  <c:v>Now</c:v>
                </c:pt>
              </c:strCache>
            </c:strRef>
          </c:tx>
          <c:spPr>
            <a:ln w="12700" cap="flat">
              <a:solidFill>
                <a:schemeClr val="tx2"/>
              </a:solidFill>
              <a:prstDash val="sysDot"/>
              <a:miter lim="800000"/>
            </a:ln>
          </c:spPr>
          <c:marker>
            <c:spPr>
              <a:noFill/>
              <a:ln>
                <a:noFill/>
              </a:ln>
            </c:spPr>
          </c:marker>
          <c:dLbls>
            <c:dLbl>
              <c:idx val="1"/>
              <c:layout>
                <c:manualLayout>
                  <c:x val="-3.9696438995913776E-2"/>
                  <c:y val="-2.67430754536771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Now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420-4B2A-86C0-CE19EF1667D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2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'Error Rate odl'!$A$26:$A$27</c:f>
              <c:numCache>
                <c:formatCode>m/d/yyyy\ h:mm</c:formatCode>
                <c:ptCount val="2"/>
                <c:pt idx="0">
                  <c:v>45658.473611111112</c:v>
                </c:pt>
                <c:pt idx="1">
                  <c:v>45658.473611111112</c:v>
                </c:pt>
              </c:numCache>
            </c:numRef>
          </c:xVal>
          <c:yVal>
            <c:numRef>
              <c:f>'Error Rate odl'!$D$26:$D$27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20-4B2A-86C0-CE19EF166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542288"/>
        <c:axId val="1791551888"/>
      </c:scatterChart>
      <c:valAx>
        <c:axId val="1791542288"/>
        <c:scaling>
          <c:orientation val="minMax"/>
          <c:max val="45658.475689999999"/>
          <c:min val="45658.43056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\ AM/PM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51888"/>
        <c:crosses val="autoZero"/>
        <c:crossBetween val="midCat"/>
        <c:majorUnit val="6.9500000000000022E-3"/>
        <c:minorUnit val="3.4700000000000013E-3"/>
      </c:valAx>
      <c:valAx>
        <c:axId val="179155188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422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85723</xdr:colOff>
      <xdr:row>5</xdr:row>
      <xdr:rowOff>66674</xdr:rowOff>
    </xdr:from>
    <xdr:to>
      <xdr:col>17</xdr:col>
      <xdr:colOff>116203</xdr:colOff>
      <xdr:row>19</xdr:row>
      <xdr:rowOff>179450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B9242-1F0B-4D3E-BE74-59AB6F21D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85723</xdr:colOff>
      <xdr:row>5</xdr:row>
      <xdr:rowOff>66674</xdr:rowOff>
    </xdr:from>
    <xdr:to>
      <xdr:col>17</xdr:col>
      <xdr:colOff>116203</xdr:colOff>
      <xdr:row>19</xdr:row>
      <xdr:rowOff>179450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5A2EB-60BB-4E94-6668-3F9DA97F9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5</xdr:row>
      <xdr:rowOff>66674</xdr:rowOff>
    </xdr:from>
    <xdr:to>
      <xdr:col>16</xdr:col>
      <xdr:colOff>38099</xdr:colOff>
      <xdr:row>17</xdr:row>
      <xdr:rowOff>2666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B21DC-9E60-43CC-A87A-63255E5D0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CB05-298D-4F25-8C03-DE8041427A48}">
  <dimension ref="A1:G30"/>
  <sheetViews>
    <sheetView tabSelected="1" workbookViewId="0">
      <selection activeCell="D28" sqref="D28"/>
    </sheetView>
  </sheetViews>
  <sheetFormatPr defaultRowHeight="15" x14ac:dyDescent="0.25"/>
  <cols>
    <col min="1" max="1" width="18.28515625" bestFit="1" customWidth="1"/>
    <col min="2" max="2" width="19.140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3</v>
      </c>
    </row>
    <row r="4" spans="1:5" x14ac:dyDescent="0.25">
      <c r="A4" s="2">
        <v>45658.416666666664</v>
      </c>
      <c r="E4">
        <v>45658.416666666664</v>
      </c>
    </row>
    <row r="5" spans="1:5" x14ac:dyDescent="0.25">
      <c r="A5" s="2">
        <v>45658.420138888891</v>
      </c>
    </row>
    <row r="6" spans="1:5" x14ac:dyDescent="0.25">
      <c r="A6" s="2">
        <v>45658.423611111102</v>
      </c>
    </row>
    <row r="7" spans="1:5" x14ac:dyDescent="0.25">
      <c r="A7" s="2">
        <v>45658.427083333299</v>
      </c>
    </row>
    <row r="8" spans="1:5" x14ac:dyDescent="0.25">
      <c r="A8" s="2">
        <v>45658.430555555598</v>
      </c>
      <c r="B8">
        <v>2</v>
      </c>
      <c r="C8">
        <v>2</v>
      </c>
      <c r="E8" s="5">
        <f ca="1">ROUND(RANDBETWEEN(0,100)/50,0)</f>
        <v>2</v>
      </c>
    </row>
    <row r="9" spans="1:5" x14ac:dyDescent="0.25">
      <c r="A9" s="2">
        <v>45658.434027777803</v>
      </c>
      <c r="B9">
        <v>1</v>
      </c>
      <c r="C9">
        <v>2</v>
      </c>
      <c r="E9" s="5">
        <f t="shared" ref="E9:E20" ca="1" si="0">ROUND(RANDBETWEEN(0,100)/50,0)</f>
        <v>1</v>
      </c>
    </row>
    <row r="10" spans="1:5" x14ac:dyDescent="0.25">
      <c r="A10" s="2">
        <v>45658.4375</v>
      </c>
      <c r="B10">
        <v>1</v>
      </c>
      <c r="C10">
        <v>2</v>
      </c>
      <c r="E10" s="5">
        <f t="shared" ca="1" si="0"/>
        <v>1</v>
      </c>
    </row>
    <row r="11" spans="1:5" x14ac:dyDescent="0.25">
      <c r="A11" s="2">
        <v>45658.440972222197</v>
      </c>
      <c r="B11">
        <v>0</v>
      </c>
      <c r="C11">
        <v>2</v>
      </c>
      <c r="E11" s="5">
        <f t="shared" ca="1" si="0"/>
        <v>0</v>
      </c>
    </row>
    <row r="12" spans="1:5" x14ac:dyDescent="0.25">
      <c r="A12" s="2">
        <v>45658.444444444503</v>
      </c>
      <c r="B12">
        <v>0</v>
      </c>
      <c r="C12">
        <v>2</v>
      </c>
      <c r="E12" s="5">
        <f t="shared" ca="1" si="0"/>
        <v>1</v>
      </c>
    </row>
    <row r="13" spans="1:5" x14ac:dyDescent="0.25">
      <c r="A13" s="2">
        <v>45658.447916666701</v>
      </c>
      <c r="B13">
        <v>2</v>
      </c>
      <c r="C13">
        <v>2</v>
      </c>
      <c r="E13" s="5">
        <f t="shared" ca="1" si="0"/>
        <v>1</v>
      </c>
    </row>
    <row r="14" spans="1:5" x14ac:dyDescent="0.25">
      <c r="A14" s="2">
        <v>45658.451388888898</v>
      </c>
      <c r="B14">
        <v>1</v>
      </c>
      <c r="C14">
        <v>2</v>
      </c>
      <c r="E14" s="5">
        <f t="shared" ca="1" si="0"/>
        <v>0</v>
      </c>
    </row>
    <row r="15" spans="1:5" x14ac:dyDescent="0.25">
      <c r="A15" s="2">
        <v>45658.454861111197</v>
      </c>
      <c r="B15">
        <v>1</v>
      </c>
      <c r="C15">
        <v>2</v>
      </c>
      <c r="E15" s="5">
        <f t="shared" ca="1" si="0"/>
        <v>2</v>
      </c>
    </row>
    <row r="16" spans="1:5" x14ac:dyDescent="0.25">
      <c r="A16" s="2">
        <v>45658.458333333401</v>
      </c>
      <c r="B16">
        <v>2</v>
      </c>
      <c r="C16">
        <v>2</v>
      </c>
      <c r="E16" s="5">
        <f t="shared" ca="1" si="0"/>
        <v>2</v>
      </c>
    </row>
    <row r="17" spans="1:7" x14ac:dyDescent="0.25">
      <c r="A17" s="2">
        <v>45658.461805555598</v>
      </c>
      <c r="B17">
        <v>2</v>
      </c>
      <c r="C17">
        <v>2</v>
      </c>
      <c r="E17" s="5">
        <f t="shared" ca="1" si="0"/>
        <v>0</v>
      </c>
    </row>
    <row r="18" spans="1:7" x14ac:dyDescent="0.25">
      <c r="A18" s="2">
        <v>45658.465277777803</v>
      </c>
      <c r="B18">
        <v>2</v>
      </c>
      <c r="C18">
        <v>2</v>
      </c>
      <c r="E18" s="5">
        <f t="shared" ca="1" si="0"/>
        <v>2</v>
      </c>
    </row>
    <row r="19" spans="1:7" x14ac:dyDescent="0.25">
      <c r="A19" s="2">
        <v>45658.468750000102</v>
      </c>
      <c r="B19">
        <v>12</v>
      </c>
      <c r="C19">
        <v>2</v>
      </c>
      <c r="E19" s="5">
        <f t="shared" ca="1" si="0"/>
        <v>2</v>
      </c>
    </row>
    <row r="20" spans="1:7" x14ac:dyDescent="0.25">
      <c r="A20" s="2">
        <v>45658.472222222299</v>
      </c>
      <c r="B20">
        <v>1</v>
      </c>
      <c r="C20">
        <v>2</v>
      </c>
      <c r="E20" s="5">
        <f t="shared" ca="1" si="0"/>
        <v>0</v>
      </c>
    </row>
    <row r="21" spans="1:7" x14ac:dyDescent="0.25">
      <c r="A21" s="2">
        <v>45658.475694444503</v>
      </c>
    </row>
    <row r="22" spans="1:7" x14ac:dyDescent="0.25">
      <c r="A22" s="2" t="s">
        <v>5</v>
      </c>
      <c r="B22" s="5">
        <f>AVERAGE(B8:B20)</f>
        <v>2.0769230769230771</v>
      </c>
    </row>
    <row r="23" spans="1:7" x14ac:dyDescent="0.25">
      <c r="A23" s="2" t="s">
        <v>6</v>
      </c>
      <c r="B23" s="5">
        <f ca="1">AVERAGE(E8:E20)</f>
        <v>1.0769230769230769</v>
      </c>
      <c r="E23">
        <v>45658.427083333299</v>
      </c>
    </row>
    <row r="26" spans="1:7" x14ac:dyDescent="0.25">
      <c r="A26" s="4">
        <v>45658.473611111112</v>
      </c>
      <c r="D26">
        <v>0</v>
      </c>
    </row>
    <row r="27" spans="1:7" x14ac:dyDescent="0.25">
      <c r="A27" s="4">
        <v>45658.473611111112</v>
      </c>
      <c r="D27">
        <v>20</v>
      </c>
    </row>
    <row r="29" spans="1:7" x14ac:dyDescent="0.25">
      <c r="F29">
        <v>616</v>
      </c>
      <c r="G29" s="5">
        <f>F29/92</f>
        <v>6.6956521739130439</v>
      </c>
    </row>
    <row r="30" spans="1:7" x14ac:dyDescent="0.25">
      <c r="F30">
        <v>280</v>
      </c>
      <c r="G30" s="5">
        <f>F30/92</f>
        <v>3.0434782608695654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F29" sqref="F29:F30"/>
    </sheetView>
  </sheetViews>
  <sheetFormatPr defaultRowHeight="15" x14ac:dyDescent="0.25"/>
  <cols>
    <col min="1" max="1" width="18.28515625" bestFit="1" customWidth="1"/>
    <col min="2" max="2" width="19.140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3</v>
      </c>
    </row>
    <row r="4" spans="1:5" x14ac:dyDescent="0.25">
      <c r="A4" s="2">
        <v>45658.416666666664</v>
      </c>
      <c r="E4">
        <v>45658.416666666664</v>
      </c>
    </row>
    <row r="5" spans="1:5" x14ac:dyDescent="0.25">
      <c r="A5" s="2">
        <v>45658.420138888891</v>
      </c>
    </row>
    <row r="6" spans="1:5" x14ac:dyDescent="0.25">
      <c r="A6" s="2">
        <v>45658.423611111102</v>
      </c>
    </row>
    <row r="7" spans="1:5" x14ac:dyDescent="0.25">
      <c r="A7" s="2">
        <v>45658.427083333299</v>
      </c>
    </row>
    <row r="8" spans="1:5" x14ac:dyDescent="0.25">
      <c r="A8" s="2">
        <v>45658.430555555598</v>
      </c>
      <c r="B8">
        <v>240</v>
      </c>
      <c r="C8">
        <v>270</v>
      </c>
    </row>
    <row r="9" spans="1:5" x14ac:dyDescent="0.25">
      <c r="A9" s="2">
        <v>45658.434027777803</v>
      </c>
      <c r="B9">
        <v>237</v>
      </c>
      <c r="C9">
        <v>270</v>
      </c>
    </row>
    <row r="10" spans="1:5" x14ac:dyDescent="0.25">
      <c r="A10" s="2">
        <v>45658.4375</v>
      </c>
      <c r="B10">
        <v>239</v>
      </c>
      <c r="C10">
        <v>270</v>
      </c>
    </row>
    <row r="11" spans="1:5" x14ac:dyDescent="0.25">
      <c r="A11" s="2">
        <v>45658.440972222197</v>
      </c>
      <c r="B11">
        <v>245</v>
      </c>
      <c r="C11">
        <v>270</v>
      </c>
    </row>
    <row r="12" spans="1:5" x14ac:dyDescent="0.25">
      <c r="A12" s="2">
        <v>45658.444444444503</v>
      </c>
      <c r="B12">
        <v>235</v>
      </c>
      <c r="C12">
        <v>270</v>
      </c>
    </row>
    <row r="13" spans="1:5" x14ac:dyDescent="0.25">
      <c r="A13" s="2">
        <v>45658.447916666701</v>
      </c>
      <c r="B13">
        <v>240</v>
      </c>
      <c r="C13">
        <v>270</v>
      </c>
    </row>
    <row r="14" spans="1:5" x14ac:dyDescent="0.25">
      <c r="A14" s="2">
        <v>45658.451388888898</v>
      </c>
      <c r="B14">
        <v>241</v>
      </c>
      <c r="C14">
        <v>270</v>
      </c>
    </row>
    <row r="15" spans="1:5" x14ac:dyDescent="0.25">
      <c r="A15" s="2">
        <v>45658.454861111197</v>
      </c>
      <c r="B15">
        <v>250</v>
      </c>
      <c r="C15">
        <v>270</v>
      </c>
    </row>
    <row r="16" spans="1:5" x14ac:dyDescent="0.25">
      <c r="A16" s="2">
        <v>45658.458333333401</v>
      </c>
      <c r="B16">
        <v>247</v>
      </c>
      <c r="C16">
        <v>270</v>
      </c>
    </row>
    <row r="17" spans="1:7" x14ac:dyDescent="0.25">
      <c r="A17" s="2">
        <v>45658.461805555598</v>
      </c>
      <c r="B17">
        <v>245</v>
      </c>
      <c r="C17">
        <v>270</v>
      </c>
    </row>
    <row r="18" spans="1:7" x14ac:dyDescent="0.25">
      <c r="A18" s="2">
        <v>45658.465277777803</v>
      </c>
      <c r="B18">
        <v>263</v>
      </c>
      <c r="C18">
        <v>270</v>
      </c>
    </row>
    <row r="19" spans="1:7" x14ac:dyDescent="0.25">
      <c r="A19" s="2">
        <v>45658.468750000102</v>
      </c>
      <c r="B19">
        <v>276</v>
      </c>
      <c r="C19">
        <v>270</v>
      </c>
    </row>
    <row r="20" spans="1:7" x14ac:dyDescent="0.25">
      <c r="A20" s="2">
        <v>45658.472222222299</v>
      </c>
      <c r="B20">
        <v>260</v>
      </c>
      <c r="C20">
        <v>270</v>
      </c>
    </row>
    <row r="21" spans="1:7" x14ac:dyDescent="0.25">
      <c r="A21" s="2">
        <v>45658.475694444503</v>
      </c>
    </row>
    <row r="22" spans="1:7" x14ac:dyDescent="0.25">
      <c r="A22" s="2">
        <v>45658.479166666701</v>
      </c>
      <c r="B22" s="1">
        <f>(AVERAGE(B8:B20)-C20)/C20</f>
        <v>-8.3190883190883164E-2</v>
      </c>
    </row>
    <row r="23" spans="1:7" x14ac:dyDescent="0.25">
      <c r="A23" s="2">
        <v>45658.482638889</v>
      </c>
      <c r="E23">
        <v>45658.427083333299</v>
      </c>
    </row>
    <row r="26" spans="1:7" x14ac:dyDescent="0.25">
      <c r="A26" s="4">
        <v>45658.473611111112</v>
      </c>
      <c r="D26">
        <v>0</v>
      </c>
    </row>
    <row r="27" spans="1:7" x14ac:dyDescent="0.25">
      <c r="A27" s="4">
        <v>45658.473611111112</v>
      </c>
      <c r="D27">
        <v>500</v>
      </c>
    </row>
    <row r="29" spans="1:7" x14ac:dyDescent="0.25">
      <c r="F29">
        <v>616</v>
      </c>
      <c r="G29" s="5">
        <f>F29/92</f>
        <v>6.6956521739130439</v>
      </c>
    </row>
    <row r="30" spans="1:7" x14ac:dyDescent="0.25">
      <c r="F30">
        <v>280</v>
      </c>
      <c r="G30" s="5">
        <f>F30/92</f>
        <v>3.0434782608695654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82AC-5E99-4C5A-80D3-547EED89BB7F}">
  <dimension ref="A1:G30"/>
  <sheetViews>
    <sheetView workbookViewId="0">
      <selection activeCell="B8" sqref="B8:B20"/>
    </sheetView>
  </sheetViews>
  <sheetFormatPr defaultRowHeight="15" x14ac:dyDescent="0.25"/>
  <cols>
    <col min="1" max="1" width="18.28515625" bestFit="1" customWidth="1"/>
    <col min="2" max="2" width="19.140625" bestFit="1" customWidth="1"/>
  </cols>
  <sheetData>
    <row r="1" spans="1:5" x14ac:dyDescent="0.25">
      <c r="A1" t="s">
        <v>0</v>
      </c>
      <c r="B1" t="s">
        <v>2</v>
      </c>
      <c r="C1" t="s">
        <v>4</v>
      </c>
      <c r="D1" t="s">
        <v>3</v>
      </c>
    </row>
    <row r="4" spans="1:5" x14ac:dyDescent="0.25">
      <c r="A4" s="3">
        <v>45658.416666666664</v>
      </c>
      <c r="E4">
        <v>45658.416666666664</v>
      </c>
    </row>
    <row r="5" spans="1:5" x14ac:dyDescent="0.25">
      <c r="A5" s="3">
        <v>45658.420138888891</v>
      </c>
    </row>
    <row r="6" spans="1:5" x14ac:dyDescent="0.25">
      <c r="A6" s="3">
        <v>45658.423611111102</v>
      </c>
    </row>
    <row r="7" spans="1:5" x14ac:dyDescent="0.25">
      <c r="A7" s="3">
        <v>45658.427083333299</v>
      </c>
    </row>
    <row r="8" spans="1:5" x14ac:dyDescent="0.25">
      <c r="A8" s="3">
        <v>45658.430555555598</v>
      </c>
      <c r="B8">
        <v>0</v>
      </c>
      <c r="C8">
        <v>2</v>
      </c>
    </row>
    <row r="9" spans="1:5" x14ac:dyDescent="0.25">
      <c r="A9" s="3">
        <v>45658.434027777803</v>
      </c>
      <c r="B9">
        <v>1</v>
      </c>
      <c r="C9">
        <v>2</v>
      </c>
    </row>
    <row r="10" spans="1:5" x14ac:dyDescent="0.25">
      <c r="A10" s="3">
        <v>45658.4375</v>
      </c>
      <c r="B10">
        <v>0</v>
      </c>
      <c r="C10">
        <v>2</v>
      </c>
    </row>
    <row r="11" spans="1:5" x14ac:dyDescent="0.25">
      <c r="A11" s="3">
        <v>45658.440972222197</v>
      </c>
      <c r="B11">
        <v>1</v>
      </c>
      <c r="C11">
        <v>2</v>
      </c>
    </row>
    <row r="12" spans="1:5" x14ac:dyDescent="0.25">
      <c r="A12" s="3">
        <v>45658.444444444503</v>
      </c>
      <c r="B12">
        <v>0</v>
      </c>
      <c r="C12">
        <v>2</v>
      </c>
    </row>
    <row r="13" spans="1:5" x14ac:dyDescent="0.25">
      <c r="A13" s="3">
        <v>45658.447916666701</v>
      </c>
      <c r="B13">
        <v>1</v>
      </c>
      <c r="C13">
        <v>2</v>
      </c>
    </row>
    <row r="14" spans="1:5" x14ac:dyDescent="0.25">
      <c r="A14" s="3">
        <v>45658.451388888898</v>
      </c>
      <c r="B14">
        <v>0</v>
      </c>
      <c r="C14">
        <v>2</v>
      </c>
    </row>
    <row r="15" spans="1:5" x14ac:dyDescent="0.25">
      <c r="A15" s="3">
        <v>45658.454861111197</v>
      </c>
      <c r="B15">
        <v>1</v>
      </c>
      <c r="C15">
        <v>2</v>
      </c>
    </row>
    <row r="16" spans="1:5" x14ac:dyDescent="0.25">
      <c r="A16" s="3">
        <v>45658.458333333401</v>
      </c>
      <c r="B16">
        <v>0</v>
      </c>
      <c r="C16">
        <v>2</v>
      </c>
    </row>
    <row r="17" spans="1:7" x14ac:dyDescent="0.25">
      <c r="A17" s="3">
        <v>45658.461805555598</v>
      </c>
      <c r="B17">
        <v>0</v>
      </c>
      <c r="C17">
        <v>2</v>
      </c>
    </row>
    <row r="18" spans="1:7" x14ac:dyDescent="0.25">
      <c r="A18" s="3">
        <v>45658.465277777803</v>
      </c>
      <c r="B18">
        <v>0</v>
      </c>
      <c r="C18">
        <v>2</v>
      </c>
    </row>
    <row r="19" spans="1:7" x14ac:dyDescent="0.25">
      <c r="A19" s="3">
        <v>45658.468750000102</v>
      </c>
      <c r="B19">
        <v>9</v>
      </c>
      <c r="C19">
        <v>2</v>
      </c>
    </row>
    <row r="20" spans="1:7" x14ac:dyDescent="0.25">
      <c r="A20" s="3">
        <v>45658.472222222299</v>
      </c>
      <c r="B20">
        <v>2</v>
      </c>
      <c r="C20">
        <v>2</v>
      </c>
    </row>
    <row r="21" spans="1:7" x14ac:dyDescent="0.25">
      <c r="A21" s="3">
        <v>45658.475694444503</v>
      </c>
    </row>
    <row r="22" spans="1:7" x14ac:dyDescent="0.25">
      <c r="A22" s="3">
        <v>45658.479166666701</v>
      </c>
    </row>
    <row r="23" spans="1:7" x14ac:dyDescent="0.25">
      <c r="A23" s="3">
        <v>45658.482638889</v>
      </c>
      <c r="E23">
        <v>45658.475694444503</v>
      </c>
    </row>
    <row r="24" spans="1:7" x14ac:dyDescent="0.25">
      <c r="A24" t="s">
        <v>5</v>
      </c>
      <c r="B24" s="1">
        <f>(AVERAGE(B8:B20)-C20)/C20</f>
        <v>-0.42307692307692313</v>
      </c>
    </row>
    <row r="25" spans="1:7" x14ac:dyDescent="0.25">
      <c r="A25" t="s">
        <v>6</v>
      </c>
      <c r="B25">
        <f>AVERAGE(B8:B18,B20)</f>
        <v>0.5</v>
      </c>
    </row>
    <row r="26" spans="1:7" x14ac:dyDescent="0.25">
      <c r="A26" s="4">
        <v>45658.473611111112</v>
      </c>
      <c r="D26">
        <v>0</v>
      </c>
    </row>
    <row r="27" spans="1:7" x14ac:dyDescent="0.25">
      <c r="A27" s="4">
        <v>45658.473611111112</v>
      </c>
      <c r="D27">
        <v>20</v>
      </c>
    </row>
    <row r="29" spans="1:7" x14ac:dyDescent="0.25">
      <c r="F29">
        <v>570</v>
      </c>
      <c r="G29" s="5">
        <f>F29/92</f>
        <v>6.1956521739130439</v>
      </c>
    </row>
    <row r="30" spans="1:7" x14ac:dyDescent="0.25">
      <c r="F30">
        <v>224</v>
      </c>
      <c r="G30" s="5">
        <f>F30/92</f>
        <v>2.4347826086956523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 Rate</vt:lpstr>
      <vt:lpstr>Response Time</vt:lpstr>
      <vt:lpstr>Error Rate odl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Simpson</cp:lastModifiedBy>
  <dcterms:created xsi:type="dcterms:W3CDTF">2025-12-17T16:52:58Z</dcterms:created>
  <dcterms:modified xsi:type="dcterms:W3CDTF">2025-12-18T15:06:05Z</dcterms:modified>
</cp:coreProperties>
</file>